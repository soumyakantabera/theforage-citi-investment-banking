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Step 1" sheetId="1" state="visible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Titles" localSheetId="0">'Step 1'!$1:$1</definedName>
    <definedName name="_xlnm.Print_Area" localSheetId="0">'Step 1'!$A$1:$P$37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General&quot;A&quot;"/>
    <numFmt numFmtId="165" formatCode="&quot;$&quot;#,##0.0_);\(&quot;$&quot;#,##0.0\)"/>
    <numFmt numFmtId="166" formatCode="#,##0.0_);\(#,##0.0\)"/>
    <numFmt numFmtId="167" formatCode="#,##0.0%_);\(#,##0.0%\)"/>
    <numFmt numFmtId="168" formatCode="0.0%"/>
    <numFmt numFmtId="169" formatCode="General&quot;P&quot;"/>
    <numFmt numFmtId="170" formatCode="&quot;$&quot;#,##0.0000_);\(&quot;$&quot;#,##0.0000\)"/>
  </numFmts>
  <fonts count="13">
    <font>
      <name val="Arial"/>
      <sz val="10"/>
    </font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FF"/>
      <sz val="10"/>
    </font>
    <font>
      <name val="Arial"/>
      <color rgb="FF0000FF"/>
      <sz val="10"/>
    </font>
    <font>
      <name val="Arial"/>
      <family val="2"/>
      <color rgb="FF0000FF"/>
      <sz val="10"/>
    </font>
    <font>
      <b val="1"/>
      <color rgb="00FFFFFF"/>
      <sz val="10"/>
    </font>
    <font>
      <b val="1"/>
      <sz val="10"/>
    </font>
    <font>
      <b val="1"/>
      <color rgb="001F4E79"/>
      <sz val="14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4" fontId="1" fillId="0" borderId="0"/>
    <xf numFmtId="9" fontId="1" fillId="0" borderId="0"/>
  </cellStyleXfs>
  <cellXfs count="51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2" fillId="3" borderId="5" applyAlignment="1" pivotButton="0" quotePrefix="0" xfId="0">
      <alignment horizontal="center"/>
    </xf>
    <xf numFmtId="0" fontId="5" fillId="4" borderId="2" applyAlignment="1" pivotButton="0" quotePrefix="0" xfId="0">
      <alignment horizontal="centerContinuous"/>
    </xf>
    <xf numFmtId="0" fontId="5" fillId="4" borderId="3" applyAlignment="1" pivotButton="0" quotePrefix="0" xfId="0">
      <alignment horizontal="centerContinuous"/>
    </xf>
    <xf numFmtId="0" fontId="5" fillId="4" borderId="4" applyAlignment="1" pivotButton="0" quotePrefix="0" xfId="0">
      <alignment horizontal="centerContinuous"/>
    </xf>
    <xf numFmtId="164" fontId="2" fillId="0" borderId="0" applyAlignment="1" pivotButton="0" quotePrefix="0" xfId="0">
      <alignment horizontal="center"/>
    </xf>
    <xf numFmtId="0" fontId="0" fillId="0" borderId="6" pivotButton="0" quotePrefix="0" xfId="0"/>
    <xf numFmtId="0" fontId="2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5" fontId="6" fillId="0" borderId="0" pivotButton="0" quotePrefix="0" xfId="1"/>
    <xf numFmtId="165" fontId="2" fillId="0" borderId="0" pivotButton="0" quotePrefix="0" xfId="1"/>
    <xf numFmtId="166" fontId="7" fillId="0" borderId="0" pivotButton="0" quotePrefix="0" xfId="1"/>
    <xf numFmtId="166" fontId="0" fillId="0" borderId="0" pivotButton="0" quotePrefix="0" xfId="0"/>
    <xf numFmtId="165" fontId="2" fillId="0" borderId="7" pivotButton="0" quotePrefix="0" xfId="0"/>
    <xf numFmtId="167" fontId="0" fillId="0" borderId="0" pivotButton="0" quotePrefix="0" xfId="0"/>
    <xf numFmtId="166" fontId="3" fillId="0" borderId="0" pivotButton="0" quotePrefix="0" xfId="1"/>
    <xf numFmtId="165" fontId="0" fillId="0" borderId="7" pivotButton="0" quotePrefix="0" xfId="0"/>
    <xf numFmtId="9" fontId="0" fillId="0" borderId="0" pivotButton="0" quotePrefix="0" xfId="2"/>
    <xf numFmtId="9" fontId="0" fillId="0" borderId="1" pivotButton="0" quotePrefix="0" xfId="2"/>
    <xf numFmtId="168" fontId="0" fillId="0" borderId="0" pivotButton="0" quotePrefix="0" xfId="0"/>
    <xf numFmtId="167" fontId="7" fillId="0" borderId="0" pivotButton="0" quotePrefix="0" xfId="0"/>
    <xf numFmtId="9" fontId="4" fillId="0" borderId="0" applyAlignment="1" pivotButton="0" quotePrefix="0" xfId="2">
      <alignment horizontal="right"/>
    </xf>
    <xf numFmtId="169" fontId="2" fillId="0" borderId="0" applyAlignment="1" pivotButton="0" quotePrefix="0" xfId="0">
      <alignment horizontal="center"/>
    </xf>
    <xf numFmtId="170" fontId="0" fillId="0" borderId="0" pivotButton="0" quotePrefix="0" xfId="0"/>
    <xf numFmtId="166" fontId="3" fillId="0" borderId="0" pivotButton="0" quotePrefix="0" xfId="1"/>
    <xf numFmtId="166" fontId="3" fillId="0" borderId="0" pivotButton="0" quotePrefix="0" xfId="0"/>
    <xf numFmtId="167" fontId="8" fillId="2" borderId="5" applyAlignment="1" pivotButton="0" quotePrefix="0" xfId="0">
      <alignment horizontal="center"/>
    </xf>
    <xf numFmtId="10" fontId="0" fillId="0" borderId="0" pivotButton="0" quotePrefix="0" xfId="0"/>
    <xf numFmtId="0" fontId="11" fillId="0" borderId="0" pivotButton="0" quotePrefix="0" xfId="0"/>
    <xf numFmtId="0" fontId="9" fillId="5" borderId="8" applyAlignment="1" pivotButton="0" quotePrefix="0" xfId="0">
      <alignment horizontal="center" wrapText="1"/>
    </xf>
    <xf numFmtId="3" fontId="10" fillId="0" borderId="8" applyAlignment="1" pivotButton="0" quotePrefix="0" xfId="1">
      <alignment horizontal="right"/>
    </xf>
    <xf numFmtId="3" fontId="7" fillId="0" borderId="8" applyAlignment="1" pivotButton="0" quotePrefix="0" xfId="1">
      <alignment horizontal="right"/>
    </xf>
    <xf numFmtId="3" fontId="0" fillId="0" borderId="8" applyAlignment="1" pivotButton="0" quotePrefix="0" xfId="0">
      <alignment horizontal="right"/>
    </xf>
    <xf numFmtId="3" fontId="10" fillId="0" borderId="8" applyAlignment="1" pivotButton="0" quotePrefix="0" xfId="0">
      <alignment horizontal="right"/>
    </xf>
    <xf numFmtId="10" fontId="0" fillId="0" borderId="8" applyAlignment="1" pivotButton="0" quotePrefix="0" xfId="0">
      <alignment horizontal="right"/>
    </xf>
    <xf numFmtId="3" fontId="3" fillId="0" borderId="8" applyAlignment="1" pivotButton="0" quotePrefix="0" xfId="1">
      <alignment horizontal="right"/>
    </xf>
    <xf numFmtId="3" fontId="3" fillId="0" borderId="8" applyAlignment="1" pivotButton="0" quotePrefix="0" xfId="0">
      <alignment horizontal="right"/>
    </xf>
    <xf numFmtId="10" fontId="4" fillId="0" borderId="0" pivotButton="0" quotePrefix="0" xfId="0"/>
    <xf numFmtId="165" fontId="10" fillId="0" borderId="8" applyAlignment="1" pivotButton="0" quotePrefix="0" xfId="0">
      <alignment horizontal="right"/>
    </xf>
    <xf numFmtId="10" fontId="7" fillId="0" borderId="0" pivotButton="0" quotePrefix="0" xfId="0"/>
    <xf numFmtId="3" fontId="4" fillId="0" borderId="0" applyAlignment="1" pivotButton="0" quotePrefix="0" xfId="2">
      <alignment horizontal="right"/>
    </xf>
    <xf numFmtId="3" fontId="0" fillId="0" borderId="0" pivotButton="0" quotePrefix="0" xfId="0"/>
    <xf numFmtId="0" fontId="12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339933"/>
    <outlinePr summaryBelow="1" summaryRight="1"/>
    <pageSetUpPr fitToPage="1"/>
  </sheetPr>
  <dimension ref="C1:N40"/>
  <sheetViews>
    <sheetView showGridLines="0" tabSelected="1" zoomScale="85" zoomScaleNormal="85" zoomScaleSheetLayoutView="70" workbookViewId="0">
      <selection activeCell="A1" sqref="A1"/>
    </sheetView>
  </sheetViews>
  <sheetFormatPr baseColWidth="8" defaultRowHeight="12.75"/>
  <cols>
    <col width="1.7109375" customWidth="1" min="1" max="2"/>
    <col width="3.7109375" customWidth="1" min="7" max="7"/>
    <col width="14" customWidth="1" min="9" max="14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.7109375" customWidth="1" min="15" max="17"/>
    <col width="1.7109375" customWidth="1" min="250" max="251"/>
    <col width="3.7109375" customWidth="1" min="256" max="256"/>
    <col hidden="1" min="258" max="263"/>
    <col width="15.7109375" customWidth="1" min="264" max="269"/>
    <col hidden="1" min="270" max="270"/>
    <col width="1.7109375" customWidth="1" min="271" max="273"/>
    <col width="1.7109375" customWidth="1" min="506" max="507"/>
    <col width="3.7109375" customWidth="1" min="512" max="512"/>
    <col hidden="1" min="514" max="519"/>
    <col width="15.7109375" customWidth="1" min="520" max="525"/>
    <col hidden="1" min="526" max="526"/>
    <col width="1.7109375" customWidth="1" min="527" max="529"/>
    <col width="1.7109375" customWidth="1" min="762" max="763"/>
    <col width="3.7109375" customWidth="1" min="768" max="768"/>
    <col hidden="1" min="770" max="775"/>
    <col width="15.7109375" customWidth="1" min="776" max="781"/>
    <col hidden="1" min="782" max="782"/>
    <col width="1.7109375" customWidth="1" min="783" max="785"/>
    <col width="1.7109375" customWidth="1" min="1018" max="1019"/>
    <col width="3.7109375" customWidth="1" min="1024" max="1024"/>
    <col hidden="1" min="1026" max="1031"/>
    <col width="15.7109375" customWidth="1" min="1032" max="1037"/>
    <col hidden="1" min="1038" max="1038"/>
    <col width="1.7109375" customWidth="1" min="1039" max="1041"/>
    <col width="1.7109375" customWidth="1" min="1274" max="1275"/>
    <col width="3.7109375" customWidth="1" min="1280" max="1280"/>
    <col hidden="1" min="1282" max="1287"/>
    <col width="15.7109375" customWidth="1" min="1288" max="1293"/>
    <col hidden="1" min="1294" max="1294"/>
    <col width="1.7109375" customWidth="1" min="1295" max="1297"/>
    <col width="1.7109375" customWidth="1" min="1530" max="1531"/>
    <col width="3.7109375" customWidth="1" min="1536" max="1536"/>
    <col hidden="1" min="1538" max="1543"/>
    <col width="15.7109375" customWidth="1" min="1544" max="1549"/>
    <col hidden="1" min="1550" max="1550"/>
    <col width="1.7109375" customWidth="1" min="1551" max="1553"/>
    <col width="1.7109375" customWidth="1" min="1786" max="1787"/>
    <col width="3.7109375" customWidth="1" min="1792" max="1792"/>
    <col hidden="1" min="1794" max="1799"/>
    <col width="15.7109375" customWidth="1" min="1800" max="1805"/>
    <col hidden="1" min="1806" max="1806"/>
    <col width="1.7109375" customWidth="1" min="1807" max="1809"/>
    <col width="1.7109375" customWidth="1" min="2042" max="2043"/>
    <col width="3.7109375" customWidth="1" min="2048" max="2048"/>
    <col hidden="1" min="2050" max="2055"/>
    <col width="15.7109375" customWidth="1" min="2056" max="2061"/>
    <col hidden="1" min="2062" max="2062"/>
    <col width="1.7109375" customWidth="1" min="2063" max="2065"/>
    <col width="1.7109375" customWidth="1" min="2298" max="2299"/>
    <col width="3.7109375" customWidth="1" min="2304" max="2304"/>
    <col hidden="1" min="2306" max="2311"/>
    <col width="15.7109375" customWidth="1" min="2312" max="2317"/>
    <col hidden="1" min="2318" max="2318"/>
    <col width="1.7109375" customWidth="1" min="2319" max="2321"/>
    <col width="1.7109375" customWidth="1" min="2554" max="2555"/>
    <col width="3.7109375" customWidth="1" min="2560" max="2560"/>
    <col hidden="1" min="2562" max="2567"/>
    <col width="15.7109375" customWidth="1" min="2568" max="2573"/>
    <col hidden="1" min="2574" max="2574"/>
    <col width="1.7109375" customWidth="1" min="2575" max="2577"/>
    <col width="1.7109375" customWidth="1" min="2810" max="2811"/>
    <col width="3.7109375" customWidth="1" min="2816" max="2816"/>
    <col hidden="1" min="2818" max="2823"/>
    <col width="15.7109375" customWidth="1" min="2824" max="2829"/>
    <col hidden="1" min="2830" max="2830"/>
    <col width="1.7109375" customWidth="1" min="2831" max="2833"/>
    <col width="1.7109375" customWidth="1" min="3066" max="3067"/>
    <col width="3.7109375" customWidth="1" min="3072" max="3072"/>
    <col hidden="1" min="3074" max="3079"/>
    <col width="15.7109375" customWidth="1" min="3080" max="3085"/>
    <col hidden="1" min="3086" max="3086"/>
    <col width="1.7109375" customWidth="1" min="3087" max="3089"/>
    <col width="1.7109375" customWidth="1" min="3322" max="3323"/>
    <col width="3.7109375" customWidth="1" min="3328" max="3328"/>
    <col hidden="1" min="3330" max="3335"/>
    <col width="15.7109375" customWidth="1" min="3336" max="3341"/>
    <col hidden="1" min="3342" max="3342"/>
    <col width="1.7109375" customWidth="1" min="3343" max="3345"/>
    <col width="1.7109375" customWidth="1" min="3578" max="3579"/>
    <col width="3.7109375" customWidth="1" min="3584" max="3584"/>
    <col hidden="1" min="3586" max="3591"/>
    <col width="15.7109375" customWidth="1" min="3592" max="3597"/>
    <col hidden="1" min="3598" max="3598"/>
    <col width="1.7109375" customWidth="1" min="3599" max="3601"/>
    <col width="1.7109375" customWidth="1" min="3834" max="3835"/>
    <col width="3.7109375" customWidth="1" min="3840" max="3840"/>
    <col hidden="1" min="3842" max="3847"/>
    <col width="15.7109375" customWidth="1" min="3848" max="3853"/>
    <col hidden="1" min="3854" max="3854"/>
    <col width="1.7109375" customWidth="1" min="3855" max="3857"/>
    <col width="1.7109375" customWidth="1" min="4090" max="4091"/>
    <col width="3.7109375" customWidth="1" min="4096" max="4096"/>
    <col hidden="1" min="4098" max="4103"/>
    <col width="15.7109375" customWidth="1" min="4104" max="4109"/>
    <col hidden="1" min="4110" max="4110"/>
    <col width="1.7109375" customWidth="1" min="4111" max="4113"/>
    <col width="1.7109375" customWidth="1" min="4346" max="4347"/>
    <col width="3.7109375" customWidth="1" min="4352" max="4352"/>
    <col hidden="1" min="4354" max="4359"/>
    <col width="15.7109375" customWidth="1" min="4360" max="4365"/>
    <col hidden="1" min="4366" max="4366"/>
    <col width="1.7109375" customWidth="1" min="4367" max="4369"/>
    <col width="1.7109375" customWidth="1" min="4602" max="4603"/>
    <col width="3.7109375" customWidth="1" min="4608" max="4608"/>
    <col hidden="1" min="4610" max="4615"/>
    <col width="15.7109375" customWidth="1" min="4616" max="4621"/>
    <col hidden="1" min="4622" max="4622"/>
    <col width="1.7109375" customWidth="1" min="4623" max="4625"/>
    <col width="1.7109375" customWidth="1" min="4858" max="4859"/>
    <col width="3.7109375" customWidth="1" min="4864" max="4864"/>
    <col hidden="1" min="4866" max="4871"/>
    <col width="15.7109375" customWidth="1" min="4872" max="4877"/>
    <col hidden="1" min="4878" max="4878"/>
    <col width="1.7109375" customWidth="1" min="4879" max="4881"/>
    <col width="1.7109375" customWidth="1" min="5114" max="5115"/>
    <col width="3.7109375" customWidth="1" min="5120" max="5120"/>
    <col hidden="1" min="5122" max="5127"/>
    <col width="15.7109375" customWidth="1" min="5128" max="5133"/>
    <col hidden="1" min="5134" max="5134"/>
    <col width="1.7109375" customWidth="1" min="5135" max="5137"/>
    <col width="1.7109375" customWidth="1" min="5370" max="5371"/>
    <col width="3.7109375" customWidth="1" min="5376" max="5376"/>
    <col hidden="1" min="5378" max="5383"/>
    <col width="15.7109375" customWidth="1" min="5384" max="5389"/>
    <col hidden="1" min="5390" max="5390"/>
    <col width="1.7109375" customWidth="1" min="5391" max="5393"/>
    <col width="1.7109375" customWidth="1" min="5626" max="5627"/>
    <col width="3.7109375" customWidth="1" min="5632" max="5632"/>
    <col hidden="1" min="5634" max="5639"/>
    <col width="15.7109375" customWidth="1" min="5640" max="5645"/>
    <col hidden="1" min="5646" max="5646"/>
    <col width="1.7109375" customWidth="1" min="5647" max="5649"/>
    <col width="1.7109375" customWidth="1" min="5882" max="5883"/>
    <col width="3.7109375" customWidth="1" min="5888" max="5888"/>
    <col hidden="1" min="5890" max="5895"/>
    <col width="15.7109375" customWidth="1" min="5896" max="5901"/>
    <col hidden="1" min="5902" max="5902"/>
    <col width="1.7109375" customWidth="1" min="5903" max="5905"/>
    <col width="1.7109375" customWidth="1" min="6138" max="6139"/>
    <col width="3.7109375" customWidth="1" min="6144" max="6144"/>
    <col hidden="1" min="6146" max="6151"/>
    <col width="15.7109375" customWidth="1" min="6152" max="6157"/>
    <col hidden="1" min="6158" max="6158"/>
    <col width="1.7109375" customWidth="1" min="6159" max="6161"/>
    <col width="1.7109375" customWidth="1" min="6394" max="6395"/>
    <col width="3.7109375" customWidth="1" min="6400" max="6400"/>
    <col hidden="1" min="6402" max="6407"/>
    <col width="15.7109375" customWidth="1" min="6408" max="6413"/>
    <col hidden="1" min="6414" max="6414"/>
    <col width="1.7109375" customWidth="1" min="6415" max="6417"/>
    <col width="1.7109375" customWidth="1" min="6650" max="6651"/>
    <col width="3.7109375" customWidth="1" min="6656" max="6656"/>
    <col hidden="1" min="6658" max="6663"/>
    <col width="15.7109375" customWidth="1" min="6664" max="6669"/>
    <col hidden="1" min="6670" max="6670"/>
    <col width="1.7109375" customWidth="1" min="6671" max="6673"/>
    <col width="1.7109375" customWidth="1" min="6906" max="6907"/>
    <col width="3.7109375" customWidth="1" min="6912" max="6912"/>
    <col hidden="1" min="6914" max="6919"/>
    <col width="15.7109375" customWidth="1" min="6920" max="6925"/>
    <col hidden="1" min="6926" max="6926"/>
    <col width="1.7109375" customWidth="1" min="6927" max="6929"/>
    <col width="1.7109375" customWidth="1" min="7162" max="7163"/>
    <col width="3.7109375" customWidth="1" min="7168" max="7168"/>
    <col hidden="1" min="7170" max="7175"/>
    <col width="15.7109375" customWidth="1" min="7176" max="7181"/>
    <col hidden="1" min="7182" max="7182"/>
    <col width="1.7109375" customWidth="1" min="7183" max="7185"/>
    <col width="1.7109375" customWidth="1" min="7418" max="7419"/>
    <col width="3.7109375" customWidth="1" min="7424" max="7424"/>
    <col hidden="1" min="7426" max="7431"/>
    <col width="15.7109375" customWidth="1" min="7432" max="7437"/>
    <col hidden="1" min="7438" max="7438"/>
    <col width="1.7109375" customWidth="1" min="7439" max="7441"/>
    <col width="1.7109375" customWidth="1" min="7674" max="7675"/>
    <col width="3.7109375" customWidth="1" min="7680" max="7680"/>
    <col hidden="1" min="7682" max="7687"/>
    <col width="15.7109375" customWidth="1" min="7688" max="7693"/>
    <col hidden="1" min="7694" max="7694"/>
    <col width="1.7109375" customWidth="1" min="7695" max="7697"/>
    <col width="1.7109375" customWidth="1" min="7930" max="7931"/>
    <col width="3.7109375" customWidth="1" min="7936" max="7936"/>
    <col hidden="1" min="7938" max="7943"/>
    <col width="15.7109375" customWidth="1" min="7944" max="7949"/>
    <col hidden="1" min="7950" max="7950"/>
    <col width="1.7109375" customWidth="1" min="7951" max="7953"/>
    <col width="1.7109375" customWidth="1" min="8186" max="8187"/>
    <col width="3.7109375" customWidth="1" min="8192" max="8192"/>
    <col hidden="1" min="8194" max="8199"/>
    <col width="15.7109375" customWidth="1" min="8200" max="8205"/>
    <col hidden="1" min="8206" max="8206"/>
    <col width="1.7109375" customWidth="1" min="8207" max="8209"/>
    <col width="1.7109375" customWidth="1" min="8442" max="8443"/>
    <col width="3.7109375" customWidth="1" min="8448" max="8448"/>
    <col hidden="1" min="8450" max="8455"/>
    <col width="15.7109375" customWidth="1" min="8456" max="8461"/>
    <col hidden="1" min="8462" max="8462"/>
    <col width="1.7109375" customWidth="1" min="8463" max="8465"/>
    <col width="1.7109375" customWidth="1" min="8698" max="8699"/>
    <col width="3.7109375" customWidth="1" min="8704" max="8704"/>
    <col hidden="1" min="8706" max="8711"/>
    <col width="15.7109375" customWidth="1" min="8712" max="8717"/>
    <col hidden="1" min="8718" max="8718"/>
    <col width="1.7109375" customWidth="1" min="8719" max="8721"/>
    <col width="1.7109375" customWidth="1" min="8954" max="8955"/>
    <col width="3.7109375" customWidth="1" min="8960" max="8960"/>
    <col hidden="1" min="8962" max="8967"/>
    <col width="15.7109375" customWidth="1" min="8968" max="8973"/>
    <col hidden="1" min="8974" max="8974"/>
    <col width="1.7109375" customWidth="1" min="8975" max="8977"/>
    <col width="1.7109375" customWidth="1" min="9210" max="9211"/>
    <col width="3.7109375" customWidth="1" min="9216" max="9216"/>
    <col hidden="1" min="9218" max="9223"/>
    <col width="15.7109375" customWidth="1" min="9224" max="9229"/>
    <col hidden="1" min="9230" max="9230"/>
    <col width="1.7109375" customWidth="1" min="9231" max="9233"/>
    <col width="1.7109375" customWidth="1" min="9466" max="9467"/>
    <col width="3.7109375" customWidth="1" min="9472" max="9472"/>
    <col hidden="1" min="9474" max="9479"/>
    <col width="15.7109375" customWidth="1" min="9480" max="9485"/>
    <col hidden="1" min="9486" max="9486"/>
    <col width="1.7109375" customWidth="1" min="9487" max="9489"/>
    <col width="1.7109375" customWidth="1" min="9722" max="9723"/>
    <col width="3.7109375" customWidth="1" min="9728" max="9728"/>
    <col hidden="1" min="9730" max="9735"/>
    <col width="15.7109375" customWidth="1" min="9736" max="9741"/>
    <col hidden="1" min="9742" max="9742"/>
    <col width="1.7109375" customWidth="1" min="9743" max="9745"/>
    <col width="1.7109375" customWidth="1" min="9978" max="9979"/>
    <col width="3.7109375" customWidth="1" min="9984" max="9984"/>
    <col hidden="1" min="9986" max="9991"/>
    <col width="15.7109375" customWidth="1" min="9992" max="9997"/>
    <col hidden="1" min="9998" max="9998"/>
    <col width="1.7109375" customWidth="1" min="9999" max="10001"/>
    <col width="1.7109375" customWidth="1" min="10234" max="10235"/>
    <col width="3.7109375" customWidth="1" min="10240" max="10240"/>
    <col hidden="1" min="10242" max="10247"/>
    <col width="15.7109375" customWidth="1" min="10248" max="10253"/>
    <col hidden="1" min="10254" max="10254"/>
    <col width="1.7109375" customWidth="1" min="10255" max="10257"/>
    <col width="1.7109375" customWidth="1" min="10490" max="10491"/>
    <col width="3.7109375" customWidth="1" min="10496" max="10496"/>
    <col hidden="1" min="10498" max="10503"/>
    <col width="15.7109375" customWidth="1" min="10504" max="10509"/>
    <col hidden="1" min="10510" max="10510"/>
    <col width="1.7109375" customWidth="1" min="10511" max="10513"/>
    <col width="1.7109375" customWidth="1" min="10746" max="10747"/>
    <col width="3.7109375" customWidth="1" min="10752" max="10752"/>
    <col hidden="1" min="10754" max="10759"/>
    <col width="15.7109375" customWidth="1" min="10760" max="10765"/>
    <col hidden="1" min="10766" max="10766"/>
    <col width="1.7109375" customWidth="1" min="10767" max="10769"/>
    <col width="1.7109375" customWidth="1" min="11002" max="11003"/>
    <col width="3.7109375" customWidth="1" min="11008" max="11008"/>
    <col hidden="1" min="11010" max="11015"/>
    <col width="15.7109375" customWidth="1" min="11016" max="11021"/>
    <col hidden="1" min="11022" max="11022"/>
    <col width="1.7109375" customWidth="1" min="11023" max="11025"/>
    <col width="1.7109375" customWidth="1" min="11258" max="11259"/>
    <col width="3.7109375" customWidth="1" min="11264" max="11264"/>
    <col hidden="1" min="11266" max="11271"/>
    <col width="15.7109375" customWidth="1" min="11272" max="11277"/>
    <col hidden="1" min="11278" max="11278"/>
    <col width="1.7109375" customWidth="1" min="11279" max="11281"/>
    <col width="1.7109375" customWidth="1" min="11514" max="11515"/>
    <col width="3.7109375" customWidth="1" min="11520" max="11520"/>
    <col hidden="1" min="11522" max="11527"/>
    <col width="15.7109375" customWidth="1" min="11528" max="11533"/>
    <col hidden="1" min="11534" max="11534"/>
    <col width="1.7109375" customWidth="1" min="11535" max="11537"/>
    <col width="1.7109375" customWidth="1" min="11770" max="11771"/>
    <col width="3.7109375" customWidth="1" min="11776" max="11776"/>
    <col hidden="1" min="11778" max="11783"/>
    <col width="15.7109375" customWidth="1" min="11784" max="11789"/>
    <col hidden="1" min="11790" max="11790"/>
    <col width="1.7109375" customWidth="1" min="11791" max="11793"/>
    <col width="1.7109375" customWidth="1" min="12026" max="12027"/>
    <col width="3.7109375" customWidth="1" min="12032" max="12032"/>
    <col hidden="1" min="12034" max="12039"/>
    <col width="15.7109375" customWidth="1" min="12040" max="12045"/>
    <col hidden="1" min="12046" max="12046"/>
    <col width="1.7109375" customWidth="1" min="12047" max="12049"/>
    <col width="1.7109375" customWidth="1" min="12282" max="12283"/>
    <col width="3.7109375" customWidth="1" min="12288" max="12288"/>
    <col hidden="1" min="12290" max="12295"/>
    <col width="15.7109375" customWidth="1" min="12296" max="12301"/>
    <col hidden="1" min="12302" max="12302"/>
    <col width="1.7109375" customWidth="1" min="12303" max="12305"/>
    <col width="1.7109375" customWidth="1" min="12538" max="12539"/>
    <col width="3.7109375" customWidth="1" min="12544" max="12544"/>
    <col hidden="1" min="12546" max="12551"/>
    <col width="15.7109375" customWidth="1" min="12552" max="12557"/>
    <col hidden="1" min="12558" max="12558"/>
    <col width="1.7109375" customWidth="1" min="12559" max="12561"/>
    <col width="1.7109375" customWidth="1" min="12794" max="12795"/>
    <col width="3.7109375" customWidth="1" min="12800" max="12800"/>
    <col hidden="1" min="12802" max="12807"/>
    <col width="15.7109375" customWidth="1" min="12808" max="12813"/>
    <col hidden="1" min="12814" max="12814"/>
    <col width="1.7109375" customWidth="1" min="12815" max="12817"/>
    <col width="1.7109375" customWidth="1" min="13050" max="13051"/>
    <col width="3.7109375" customWidth="1" min="13056" max="13056"/>
    <col hidden="1" min="13058" max="13063"/>
    <col width="15.7109375" customWidth="1" min="13064" max="13069"/>
    <col hidden="1" min="13070" max="13070"/>
    <col width="1.7109375" customWidth="1" min="13071" max="13073"/>
    <col width="1.7109375" customWidth="1" min="13306" max="13307"/>
    <col width="3.7109375" customWidth="1" min="13312" max="13312"/>
    <col hidden="1" min="13314" max="13319"/>
    <col width="15.7109375" customWidth="1" min="13320" max="13325"/>
    <col hidden="1" min="13326" max="13326"/>
    <col width="1.7109375" customWidth="1" min="13327" max="13329"/>
    <col width="1.7109375" customWidth="1" min="13562" max="13563"/>
    <col width="3.7109375" customWidth="1" min="13568" max="13568"/>
    <col hidden="1" min="13570" max="13575"/>
    <col width="15.7109375" customWidth="1" min="13576" max="13581"/>
    <col hidden="1" min="13582" max="13582"/>
    <col width="1.7109375" customWidth="1" min="13583" max="13585"/>
    <col width="1.7109375" customWidth="1" min="13818" max="13819"/>
    <col width="3.7109375" customWidth="1" min="13824" max="13824"/>
    <col hidden="1" min="13826" max="13831"/>
    <col width="15.7109375" customWidth="1" min="13832" max="13837"/>
    <col hidden="1" min="13838" max="13838"/>
    <col width="1.7109375" customWidth="1" min="13839" max="13841"/>
    <col width="1.7109375" customWidth="1" min="14074" max="14075"/>
    <col width="3.7109375" customWidth="1" min="14080" max="14080"/>
    <col hidden="1" min="14082" max="14087"/>
    <col width="15.7109375" customWidth="1" min="14088" max="14093"/>
    <col hidden="1" min="14094" max="14094"/>
    <col width="1.7109375" customWidth="1" min="14095" max="14097"/>
    <col width="1.7109375" customWidth="1" min="14330" max="14331"/>
    <col width="3.7109375" customWidth="1" min="14336" max="14336"/>
    <col hidden="1" min="14338" max="14343"/>
    <col width="15.7109375" customWidth="1" min="14344" max="14349"/>
    <col hidden="1" min="14350" max="14350"/>
    <col width="1.7109375" customWidth="1" min="14351" max="14353"/>
    <col width="1.7109375" customWidth="1" min="14586" max="14587"/>
    <col width="3.7109375" customWidth="1" min="14592" max="14592"/>
    <col hidden="1" min="14594" max="14599"/>
    <col width="15.7109375" customWidth="1" min="14600" max="14605"/>
    <col hidden="1" min="14606" max="14606"/>
    <col width="1.7109375" customWidth="1" min="14607" max="14609"/>
    <col width="1.7109375" customWidth="1" min="14842" max="14843"/>
    <col width="3.7109375" customWidth="1" min="14848" max="14848"/>
    <col hidden="1" min="14850" max="14855"/>
    <col width="15.7109375" customWidth="1" min="14856" max="14861"/>
    <col hidden="1" min="14862" max="14862"/>
    <col width="1.7109375" customWidth="1" min="14863" max="14865"/>
    <col width="1.7109375" customWidth="1" min="15098" max="15099"/>
    <col width="3.7109375" customWidth="1" min="15104" max="15104"/>
    <col hidden="1" min="15106" max="15111"/>
    <col width="15.7109375" customWidth="1" min="15112" max="15117"/>
    <col hidden="1" min="15118" max="15118"/>
    <col width="1.7109375" customWidth="1" min="15119" max="15121"/>
    <col width="1.7109375" customWidth="1" min="15354" max="15355"/>
    <col width="3.7109375" customWidth="1" min="15360" max="15360"/>
    <col hidden="1" min="15362" max="15367"/>
    <col width="15.7109375" customWidth="1" min="15368" max="15373"/>
    <col hidden="1" min="15374" max="15374"/>
    <col width="1.7109375" customWidth="1" min="15375" max="15377"/>
    <col width="1.7109375" customWidth="1" min="15610" max="15611"/>
    <col width="3.7109375" customWidth="1" min="15616" max="15616"/>
    <col hidden="1" min="15618" max="15623"/>
    <col width="15.7109375" customWidth="1" min="15624" max="15629"/>
    <col hidden="1" min="15630" max="15630"/>
    <col width="1.7109375" customWidth="1" min="15631" max="15633"/>
    <col width="1.7109375" customWidth="1" min="15866" max="15867"/>
    <col width="3.7109375" customWidth="1" min="15872" max="15872"/>
    <col hidden="1" min="15874" max="15879"/>
    <col width="15.7109375" customWidth="1" min="15880" max="15885"/>
    <col hidden="1" min="15886" max="15886"/>
    <col width="1.7109375" customWidth="1" min="15887" max="15889"/>
    <col width="1.7109375" customWidth="1" min="16122" max="16123"/>
    <col width="3.7109375" customWidth="1" min="16128" max="16128"/>
    <col hidden="1" min="16130" max="16135"/>
    <col width="15.7109375" customWidth="1" min="16136" max="16141"/>
    <col hidden="1" min="16142" max="16142"/>
    <col width="1.7109375" customWidth="1" min="16143" max="16145"/>
  </cols>
  <sheetData>
    <row r="1">
      <c r="C1" s="36" t="inlineStr">
        <is>
          <t>BEST BUY CO., INC. - Income Statement Projection Model</t>
        </is>
      </c>
    </row>
    <row r="2">
      <c r="C2" s="5" t="inlineStr">
        <is>
          <t>Income Statement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>
      <c r="C3" s="4" t="inlineStr">
        <is>
          <t>($ in millions)</t>
        </is>
      </c>
    </row>
    <row r="4">
      <c r="I4" s="37" t="inlineStr">
        <is>
          <t>2022 Actual</t>
        </is>
      </c>
      <c r="J4" s="37" t="inlineStr">
        <is>
          <t>2023 Projected</t>
        </is>
      </c>
      <c r="K4" s="37" t="inlineStr">
        <is>
          <t>2024 Projected</t>
        </is>
      </c>
      <c r="L4" s="37" t="inlineStr">
        <is>
          <t>2025 Projected</t>
        </is>
      </c>
      <c r="M4" s="37" t="inlineStr">
        <is>
          <t>2026 Projected</t>
        </is>
      </c>
      <c r="N4" s="37" t="inlineStr">
        <is>
          <t>2027 Projected</t>
        </is>
      </c>
    </row>
    <row r="6">
      <c r="I6" s="12" t="n"/>
      <c r="J6" s="30" t="n"/>
      <c r="K6" s="30" t="n"/>
      <c r="L6" s="30" t="n"/>
      <c r="M6" s="30" t="n"/>
      <c r="N6" s="30" t="n"/>
    </row>
    <row r="7" ht="3" customHeight="1" thickBot="1">
      <c r="C7" s="13" t="n"/>
      <c r="D7" s="13" t="n"/>
      <c r="E7" s="13" t="n"/>
      <c r="F7" s="13" t="n"/>
      <c r="G7" s="13" t="n"/>
      <c r="H7" s="13" t="n"/>
      <c r="I7" s="14" t="n"/>
      <c r="J7" s="14" t="n"/>
      <c r="K7" s="14" t="n"/>
      <c r="L7" s="14" t="n"/>
      <c r="M7" s="14" t="n"/>
      <c r="N7" s="14" t="n"/>
    </row>
    <row r="8" ht="3" customHeight="1">
      <c r="I8" s="15" t="n"/>
      <c r="J8" s="15" t="n"/>
      <c r="K8" s="15" t="n"/>
      <c r="L8" s="15" t="n"/>
      <c r="M8" s="15" t="n"/>
      <c r="N8" s="15" t="n"/>
    </row>
    <row r="9" ht="12.75" customHeight="1">
      <c r="I9" s="15" t="n"/>
      <c r="J9" s="15" t="n"/>
      <c r="K9" s="15" t="n"/>
      <c r="L9" s="15" t="n"/>
      <c r="M9" s="15" t="n"/>
      <c r="N9" s="15" t="n"/>
    </row>
    <row r="10" ht="12.75" customHeight="1">
      <c r="C10" s="16" t="inlineStr">
        <is>
          <t>Revenues</t>
        </is>
      </c>
      <c r="D10" s="16" t="n"/>
      <c r="E10" s="16" t="n"/>
      <c r="F10" s="16" t="n"/>
      <c r="G10" s="16" t="n"/>
      <c r="H10" s="16" t="n"/>
      <c r="I10" s="38" t="n">
        <v>51761</v>
      </c>
      <c r="J10" s="38">
        <f>I10*(1+J32)</f>
        <v/>
      </c>
      <c r="K10" s="38">
        <f>J10*(1+K32)</f>
        <v/>
      </c>
      <c r="L10" s="38">
        <f>K10*(1+L32)</f>
        <v/>
      </c>
      <c r="M10" s="38">
        <f>L10*(1+M32)</f>
        <v/>
      </c>
      <c r="N10" s="38">
        <f>M10*(1+N32)</f>
        <v/>
      </c>
    </row>
    <row r="11">
      <c r="C11" t="inlineStr">
        <is>
          <t>Less: COGS (Excl. Depreciation)</t>
        </is>
      </c>
      <c r="I11" s="39" t="n">
        <v>40121</v>
      </c>
      <c r="J11" s="40">
        <f>J10*J33</f>
        <v/>
      </c>
      <c r="K11" s="40">
        <f>K10*K33</f>
        <v/>
      </c>
      <c r="L11" s="40">
        <f>L10*L33</f>
        <v/>
      </c>
      <c r="M11" s="40">
        <f>M10*M33</f>
        <v/>
      </c>
      <c r="N11" s="40">
        <f>N10*N33</f>
        <v/>
      </c>
    </row>
    <row r="12">
      <c r="C12" s="16" t="inlineStr">
        <is>
          <t>Gross Profit</t>
        </is>
      </c>
      <c r="D12" s="16" t="n"/>
      <c r="E12" s="16" t="n"/>
      <c r="F12" s="16" t="n"/>
      <c r="G12" s="16" t="n"/>
      <c r="H12" s="16" t="n"/>
      <c r="I12" s="41">
        <f>I10-I11</f>
        <v/>
      </c>
      <c r="J12" s="41">
        <f>J10-J11</f>
        <v/>
      </c>
      <c r="K12" s="41">
        <f>K10-K11</f>
        <v/>
      </c>
      <c r="L12" s="41">
        <f>L10-L11</f>
        <v/>
      </c>
      <c r="M12" s="41">
        <f>M10-M11</f>
        <v/>
      </c>
      <c r="N12" s="41">
        <f>N10-N11</f>
        <v/>
      </c>
    </row>
    <row r="13">
      <c r="C13" s="3" t="inlineStr">
        <is>
          <t>Margin %</t>
        </is>
      </c>
      <c r="I13" s="42">
        <f>I12/I10</f>
        <v/>
      </c>
      <c r="J13" s="42">
        <f>J12/J10</f>
        <v/>
      </c>
      <c r="K13" s="42">
        <f>K12/K10</f>
        <v/>
      </c>
      <c r="L13" s="42">
        <f>L12/L10</f>
        <v/>
      </c>
      <c r="M13" s="42">
        <f>M12/M10</f>
        <v/>
      </c>
      <c r="N13" s="42">
        <f>N12/N10</f>
        <v/>
      </c>
    </row>
    <row r="15">
      <c r="C15" s="3" t="inlineStr">
        <is>
          <t>Less: Sales, General &amp; Administration  Expenses (excl. Amortization)</t>
        </is>
      </c>
      <c r="I15" s="39" t="n">
        <v>7766</v>
      </c>
      <c r="J15" s="43">
        <f>J10*J34</f>
        <v/>
      </c>
      <c r="K15" s="43">
        <f>K10*K34</f>
        <v/>
      </c>
      <c r="L15" s="43">
        <f>L10*L34</f>
        <v/>
      </c>
      <c r="M15" s="43">
        <f>M10*M34</f>
        <v/>
      </c>
      <c r="N15" s="43">
        <f>N10*N34</f>
        <v/>
      </c>
    </row>
    <row r="16">
      <c r="C16" s="16" t="inlineStr">
        <is>
          <t>EBITDA</t>
        </is>
      </c>
      <c r="D16" s="16" t="n"/>
      <c r="E16" s="16" t="n"/>
      <c r="F16" s="16" t="n"/>
      <c r="G16" s="16" t="n"/>
      <c r="H16" s="16" t="n"/>
      <c r="I16" s="41">
        <f>I12-I15</f>
        <v/>
      </c>
      <c r="J16" s="41">
        <f>J12-J15</f>
        <v/>
      </c>
      <c r="K16" s="41">
        <f>K12-K15</f>
        <v/>
      </c>
      <c r="L16" s="41">
        <f>L12-L15</f>
        <v/>
      </c>
      <c r="M16" s="41">
        <f>M12-M15</f>
        <v/>
      </c>
      <c r="N16" s="41">
        <f>N12-N15</f>
        <v/>
      </c>
    </row>
    <row r="17">
      <c r="C17" s="3" t="inlineStr">
        <is>
          <t>Margin %</t>
        </is>
      </c>
      <c r="I17" s="42">
        <f>I16/I10</f>
        <v/>
      </c>
      <c r="J17" s="42">
        <f>J16/J10</f>
        <v/>
      </c>
      <c r="K17" s="42">
        <f>K16/K10</f>
        <v/>
      </c>
      <c r="L17" s="42">
        <f>L16/L10</f>
        <v/>
      </c>
      <c r="M17" s="42">
        <f>M16/M10</f>
        <v/>
      </c>
      <c r="N17" s="42">
        <f>N16/N10</f>
        <v/>
      </c>
    </row>
    <row r="18">
      <c r="I18" s="31" t="n"/>
    </row>
    <row r="19">
      <c r="C19" s="3" t="inlineStr">
        <is>
          <t xml:space="preserve">Less: Depreciation </t>
        </is>
      </c>
      <c r="I19" s="39" t="n">
        <v>787</v>
      </c>
      <c r="J19" s="43">
        <f>J10*J35</f>
        <v/>
      </c>
      <c r="K19" s="43">
        <f>K10*K35</f>
        <v/>
      </c>
      <c r="L19" s="43">
        <f>L10*L35</f>
        <v/>
      </c>
      <c r="M19" s="43">
        <f>M10*M35</f>
        <v/>
      </c>
      <c r="N19" s="43">
        <f>N10*N35</f>
        <v/>
      </c>
    </row>
    <row r="20">
      <c r="C20" s="3" t="inlineStr">
        <is>
          <t>Less: Amortization</t>
        </is>
      </c>
      <c r="I20" s="39" t="n">
        <v>82</v>
      </c>
      <c r="J20" s="44">
        <f>J36</f>
        <v/>
      </c>
      <c r="K20" s="44">
        <f>K36</f>
        <v/>
      </c>
      <c r="L20" s="44">
        <f>L36</f>
        <v/>
      </c>
      <c r="M20" s="44">
        <f>M36</f>
        <v/>
      </c>
      <c r="N20" s="44">
        <f>N36</f>
        <v/>
      </c>
    </row>
    <row r="21">
      <c r="C21" s="16" t="inlineStr">
        <is>
          <t>EBIT</t>
        </is>
      </c>
      <c r="D21" s="16" t="n"/>
      <c r="E21" s="16" t="n"/>
      <c r="F21" s="16" t="n"/>
      <c r="G21" s="16" t="n"/>
      <c r="H21" s="16" t="n"/>
      <c r="I21" s="41">
        <f>I16-I19-I20</f>
        <v/>
      </c>
      <c r="J21" s="41">
        <f>J16-J19-J20</f>
        <v/>
      </c>
      <c r="K21" s="41">
        <f>K16-K19-K20</f>
        <v/>
      </c>
      <c r="L21" s="41">
        <f>L16-L19-L20</f>
        <v/>
      </c>
      <c r="M21" s="41">
        <f>M16-M19-M20</f>
        <v/>
      </c>
      <c r="N21" s="41">
        <f>N16-N19-N20</f>
        <v/>
      </c>
    </row>
    <row r="22">
      <c r="C22" s="3" t="inlineStr">
        <is>
          <t>Margin %</t>
        </is>
      </c>
      <c r="I22" s="42">
        <f>I21/I10</f>
        <v/>
      </c>
      <c r="J22" s="42">
        <f>J21/J10</f>
        <v/>
      </c>
      <c r="K22" s="42">
        <f>K21/K10</f>
        <v/>
      </c>
      <c r="L22" s="42">
        <f>L21/L10</f>
        <v/>
      </c>
      <c r="M22" s="42">
        <f>M21/M10</f>
        <v/>
      </c>
      <c r="N22" s="42">
        <f>N21/N10</f>
        <v/>
      </c>
    </row>
    <row r="23">
      <c r="C23" s="3" t="n"/>
      <c r="I23" s="22" t="n"/>
      <c r="J23" s="22" t="n"/>
      <c r="K23" s="22" t="n"/>
      <c r="L23" s="22" t="n"/>
      <c r="M23" s="22" t="n"/>
      <c r="N23" s="22" t="n"/>
    </row>
    <row r="24">
      <c r="C24" s="3" t="inlineStr">
        <is>
          <t>Less: Interest (expense) / income</t>
        </is>
      </c>
      <c r="I24" s="39" t="n">
        <v>-25</v>
      </c>
      <c r="J24" s="43">
        <f>J37</f>
        <v/>
      </c>
      <c r="K24" s="43">
        <f>K37</f>
        <v/>
      </c>
      <c r="L24" s="43">
        <f>L37</f>
        <v/>
      </c>
      <c r="M24" s="43">
        <f>M37</f>
        <v/>
      </c>
      <c r="N24" s="43">
        <f>N37</f>
        <v/>
      </c>
    </row>
    <row r="25">
      <c r="C25" s="3" t="inlineStr">
        <is>
          <t>Pre-Tax Income</t>
        </is>
      </c>
      <c r="I25" s="41">
        <f>I21+I24</f>
        <v/>
      </c>
      <c r="J25" s="41">
        <f>J21+J24</f>
        <v/>
      </c>
      <c r="K25" s="41">
        <f>K21+K24</f>
        <v/>
      </c>
      <c r="L25" s="41">
        <f>L21+L24</f>
        <v/>
      </c>
      <c r="M25" s="41">
        <f>M21+M24</f>
        <v/>
      </c>
      <c r="N25" s="41">
        <f>N21+N24</f>
        <v/>
      </c>
    </row>
    <row r="26">
      <c r="C26" s="3" t="inlineStr">
        <is>
          <t>Less: Taxes</t>
        </is>
      </c>
      <c r="F26" s="45" t="n">
        <v>0.2</v>
      </c>
      <c r="H26" s="34" t="n"/>
      <c r="I26" s="43">
        <f>I25*$F$26</f>
        <v/>
      </c>
      <c r="J26" s="43">
        <f>J25*$F$26</f>
        <v/>
      </c>
      <c r="K26" s="43">
        <f>K25*$F$26</f>
        <v/>
      </c>
      <c r="L26" s="43">
        <f>L25*$F$26</f>
        <v/>
      </c>
      <c r="M26" s="43">
        <f>M25*$F$26</f>
        <v/>
      </c>
      <c r="N26" s="43">
        <f>N25*$F$26</f>
        <v/>
      </c>
    </row>
    <row r="27">
      <c r="C27" s="16" t="inlineStr">
        <is>
          <t>Net Income</t>
        </is>
      </c>
      <c r="D27" s="16" t="n"/>
      <c r="E27" s="16" t="n"/>
      <c r="F27" s="16" t="n"/>
      <c r="G27" s="16" t="n"/>
      <c r="H27" s="16" t="n"/>
      <c r="I27" s="41">
        <f>I25-I26</f>
        <v/>
      </c>
      <c r="J27" s="46" t="n"/>
      <c r="K27" s="46" t="n"/>
      <c r="L27" s="46" t="n"/>
      <c r="M27" s="46" t="n"/>
      <c r="N27" s="46" t="n"/>
    </row>
    <row r="28">
      <c r="C28" s="3" t="n"/>
      <c r="I28" s="22" t="n"/>
      <c r="J28" s="22" t="n"/>
      <c r="K28" s="22" t="n"/>
      <c r="L28" s="22" t="n"/>
      <c r="M28" s="22" t="n"/>
      <c r="N28" s="22" t="n"/>
    </row>
    <row r="29">
      <c r="C29" s="3" t="n"/>
      <c r="I29" s="22" t="n"/>
      <c r="J29" s="22" t="n"/>
      <c r="K29" s="22" t="n"/>
      <c r="L29" s="22" t="n"/>
      <c r="M29" s="22" t="n"/>
      <c r="N29" s="22" t="n"/>
    </row>
    <row r="30">
      <c r="I30" s="25" t="n"/>
    </row>
    <row r="31">
      <c r="C31" s="1" t="inlineStr">
        <is>
          <t>Income Statement Drivers</t>
        </is>
      </c>
      <c r="D31" s="2" t="n"/>
      <c r="E31" s="2" t="n"/>
      <c r="F31" s="2" t="n"/>
      <c r="G31" s="2" t="n"/>
      <c r="H31" s="2" t="n"/>
      <c r="I31" s="26" t="n"/>
      <c r="J31" s="2" t="n"/>
      <c r="K31" s="2" t="n"/>
      <c r="L31" s="2" t="n"/>
      <c r="M31" s="2" t="n"/>
      <c r="N31" s="2" t="n"/>
    </row>
    <row r="32">
      <c r="C32" s="3" t="inlineStr">
        <is>
          <t>Revenue Growth</t>
        </is>
      </c>
      <c r="I32" s="28" t="inlineStr"/>
      <c r="J32" s="35" t="n">
        <v>0.1</v>
      </c>
      <c r="K32" s="35" t="n">
        <v>0.1</v>
      </c>
      <c r="L32" s="35" t="n">
        <v>0.1</v>
      </c>
      <c r="M32" s="35" t="n">
        <v>0.1</v>
      </c>
      <c r="N32" s="35" t="n">
        <v>0.1</v>
      </c>
    </row>
    <row r="33">
      <c r="C33" t="inlineStr">
        <is>
          <t>COGS as a % Revenue</t>
        </is>
      </c>
      <c r="I33" s="47" t="n">
        <v>0.7751202642916482</v>
      </c>
      <c r="J33" s="35" t="n">
        <v>0.77</v>
      </c>
      <c r="K33" s="35" t="n">
        <v>0.7675</v>
      </c>
      <c r="L33" s="35" t="n">
        <v>0.765</v>
      </c>
      <c r="M33" s="35" t="n">
        <v>0.7625</v>
      </c>
      <c r="N33" s="47" t="n">
        <v>0.76</v>
      </c>
    </row>
    <row r="34">
      <c r="C34" s="3" t="inlineStr">
        <is>
          <t>SG&amp;A Expenses as a % Revenue</t>
        </is>
      </c>
      <c r="I34" s="47" t="n">
        <v>0.1500357411951083</v>
      </c>
      <c r="J34" s="35" t="n">
        <v>0.165</v>
      </c>
      <c r="K34" s="35" t="n">
        <v>0.16375</v>
      </c>
      <c r="L34" s="35" t="n">
        <v>0.1625</v>
      </c>
      <c r="M34" s="35" t="n">
        <v>0.16125</v>
      </c>
      <c r="N34" s="47" t="n">
        <v>0.16</v>
      </c>
    </row>
    <row r="35">
      <c r="C35" s="3" t="inlineStr">
        <is>
          <t>Depreciation as a % Revenue</t>
        </is>
      </c>
      <c r="I35" s="47" t="n">
        <v>0.01520449759471417</v>
      </c>
      <c r="J35" s="35" t="n">
        <v>0.015</v>
      </c>
      <c r="K35" s="35" t="n">
        <v>0.015</v>
      </c>
      <c r="L35" s="35" t="n">
        <v>0.015</v>
      </c>
      <c r="M35" s="35" t="n">
        <v>0.015</v>
      </c>
      <c r="N35" s="35" t="n">
        <v>0.015</v>
      </c>
    </row>
    <row r="36">
      <c r="C36" s="3" t="inlineStr">
        <is>
          <t>Amortization</t>
        </is>
      </c>
      <c r="I36" s="48" t="n">
        <v>82</v>
      </c>
      <c r="J36" s="49" t="n">
        <v>100</v>
      </c>
      <c r="K36" s="49" t="n">
        <v>100</v>
      </c>
      <c r="L36" s="49" t="n">
        <v>100</v>
      </c>
      <c r="M36" s="49" t="n">
        <v>100</v>
      </c>
      <c r="N36" s="49" t="n">
        <v>100</v>
      </c>
    </row>
    <row r="37">
      <c r="C37" s="3" t="inlineStr">
        <is>
          <t>Interest Expense</t>
        </is>
      </c>
      <c r="I37" s="48" t="n">
        <v>-25</v>
      </c>
      <c r="J37" s="49" t="n">
        <v>-25</v>
      </c>
      <c r="K37" s="49" t="n">
        <v>-25</v>
      </c>
      <c r="L37" s="49" t="n">
        <v>-25</v>
      </c>
      <c r="M37" s="49" t="n">
        <v>-25</v>
      </c>
      <c r="N37" s="49" t="n">
        <v>-25</v>
      </c>
    </row>
    <row r="38">
      <c r="I38" s="25" t="n"/>
    </row>
    <row r="40">
      <c r="C40" s="50" t="inlineStr">
        <is>
          <t>Notes: 5-year projections (2023-2027) based on: Rev growth 10% YoY; COGS% 77%→76% linear; SG&amp;A% 16.5%→16% linear; Dep 1.5% Rev after 2022; Amort $100M constant; Interest $25M; Tax 20%. 2022 Actuals from FY22 10-K, adjusted for model structure (SG&amp;A excl. D&amp;A).</t>
        </is>
      </c>
    </row>
  </sheetData>
  <mergeCells count="1">
    <mergeCell ref="C40:N40"/>
  </mergeCells>
  <pageMargins left="0.7" right="0.7" top="0.75" bottom="0.75" header="0.3" footer="0.3"/>
  <pageSetup orientation="portrait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</dc:creator>
  <dcterms:created xmlns:dcterms="http://purl.org/dc/terms/" xmlns:xsi="http://www.w3.org/2001/XMLSchema-instance" xsi:type="dcterms:W3CDTF">2022-12-05T13:45:07Z</dcterms:created>
  <dcterms:modified xmlns:dcterms="http://purl.org/dc/terms/" xmlns:xsi="http://www.w3.org/2001/XMLSchema-instance" xsi:type="dcterms:W3CDTF">2026-05-04T11:22:08Z</dcterms:modified>
  <cp:lastModifiedBy>Josh</cp:lastModifiedBy>
</cp:coreProperties>
</file>